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ontiveros/Desktop/"/>
    </mc:Choice>
  </mc:AlternateContent>
  <xr:revisionPtr revIDLastSave="0" documentId="13_ncr:1_{57CB70C9-5FCA-7546-8E9A-5F355977D661}" xr6:coauthVersionLast="47" xr6:coauthVersionMax="47" xr10:uidLastSave="{00000000-0000-0000-0000-000000000000}"/>
  <bookViews>
    <workbookView xWindow="0" yWindow="660" windowWidth="29400" windowHeight="18460" xr2:uid="{6F1C7B84-FC79-7A4C-ADAF-A141F51FD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1" i="1" l="1"/>
  <c r="C31" i="1"/>
  <c r="B31" i="1"/>
  <c r="L26" i="1"/>
  <c r="D23" i="1"/>
  <c r="D22" i="1"/>
  <c r="D24" i="1" s="1"/>
  <c r="E31" i="1" s="1"/>
  <c r="C23" i="1"/>
  <c r="C22" i="1"/>
  <c r="C28" i="1"/>
  <c r="L25" i="1"/>
  <c r="D28" i="1" s="1"/>
  <c r="L14" i="1"/>
  <c r="L24" i="1"/>
  <c r="L11" i="1"/>
  <c r="L20" i="1"/>
  <c r="L18" i="1"/>
  <c r="L17" i="1"/>
  <c r="L16" i="1"/>
  <c r="L15" i="1"/>
  <c r="C11" i="1"/>
  <c r="B28" i="1" s="1"/>
  <c r="E28" i="1" l="1"/>
  <c r="F28" i="1" s="1"/>
  <c r="F31" i="1"/>
</calcChain>
</file>

<file path=xl/sharedStrings.xml><?xml version="1.0" encoding="utf-8"?>
<sst xmlns="http://schemas.openxmlformats.org/spreadsheetml/2006/main" count="88" uniqueCount="60">
  <si>
    <t>05:50 Cúcuta</t>
  </si>
  <si>
    <t>07:05 Bogotá</t>
  </si>
  <si>
    <t>2h 0m Parada</t>
  </si>
  <si>
    <t>09:05 Bogotá</t>
  </si>
  <si>
    <t>13:55 Fort Lauderdale</t>
  </si>
  <si>
    <t>PRECIO</t>
  </si>
  <si>
    <t>PRECIO X2</t>
  </si>
  <si>
    <t>PASAJES CUC-BOG-FLL 12 al 18 septiembre</t>
  </si>
  <si>
    <t>15:20 Fort Lauderdale</t>
  </si>
  <si>
    <t>18:00 Bogotá</t>
  </si>
  <si>
    <t>1h 20m Parada</t>
  </si>
  <si>
    <t>19:20 Bogotá</t>
  </si>
  <si>
    <t>20:30 Cúcuta</t>
  </si>
  <si>
    <t>IDA</t>
  </si>
  <si>
    <t>VUELTA</t>
  </si>
  <si>
    <t>PASAJES BOG-FLL 12 al 18 septiembre</t>
  </si>
  <si>
    <t>ITINERARIO</t>
  </si>
  <si>
    <t>LUMMUS PARK</t>
  </si>
  <si>
    <t>LINCOLN RD SHOPPING DISTRICT</t>
  </si>
  <si>
    <t>ACTIVIDAD</t>
  </si>
  <si>
    <t>GRATIS</t>
  </si>
  <si>
    <t>DIA 1</t>
  </si>
  <si>
    <t>WYNWOOD WALLS</t>
  </si>
  <si>
    <t>MIAMI DESIGN DISTRICT</t>
  </si>
  <si>
    <t>BRICKEL CITY CENTRE</t>
  </si>
  <si>
    <t>DIA 2</t>
  </si>
  <si>
    <t>DIA 3</t>
  </si>
  <si>
    <t>PRECIO C/U</t>
  </si>
  <si>
    <t>PRECIO LOS 3</t>
  </si>
  <si>
    <t>DIA 4</t>
  </si>
  <si>
    <t>DIA 5</t>
  </si>
  <si>
    <t>SAWGRASS MILLS</t>
  </si>
  <si>
    <t>COMPRAS</t>
  </si>
  <si>
    <t>DIA 6</t>
  </si>
  <si>
    <t>KEY BASCAYNE</t>
  </si>
  <si>
    <t>CAPE FLORIDA LIGHTHOUSE</t>
  </si>
  <si>
    <t>COCONUT GROVE</t>
  </si>
  <si>
    <t>DIA 7</t>
  </si>
  <si>
    <t>ZOO MIAMI</t>
  </si>
  <si>
    <t>FROST MUSEUM OF SCIENCE https://www.frostscience.org/</t>
  </si>
  <si>
    <t>PEREZ ART MUSEUM MIAMI https://www.pamm.org/en/</t>
  </si>
  <si>
    <t>PASEO EN BARCO DESDE BAYSIDE MARKETPLACE https://islandqueencruises.com/cruises/millionaires-row-sightseeing-cruise/</t>
  </si>
  <si>
    <t>EVERGLADES HOLIDAY PARK https://www.evergladesholidaypark.com/</t>
  </si>
  <si>
    <t>PASEO EN HELICOPTERO https://www.helixperience.com/</t>
  </si>
  <si>
    <t>OPCIONAL DIA 2</t>
  </si>
  <si>
    <t>DODGERS AT MARLINS</t>
  </si>
  <si>
    <t>VUELOS MA Y PA</t>
  </si>
  <si>
    <t>VUELOS YO</t>
  </si>
  <si>
    <t>COMIDA</t>
  </si>
  <si>
    <t>ALMUERZOS</t>
  </si>
  <si>
    <t>CENAS</t>
  </si>
  <si>
    <t>C/U</t>
  </si>
  <si>
    <t>LOS 3</t>
  </si>
  <si>
    <t>Con dodgers y helicoptero</t>
  </si>
  <si>
    <t>Sin dodgers y sin helicoptero</t>
  </si>
  <si>
    <t>ACTIVIDADES con D y H</t>
  </si>
  <si>
    <t>TOTAL</t>
  </si>
  <si>
    <t>ACTIVIDADES SIN D y H</t>
  </si>
  <si>
    <t xml:space="preserve"> OPCIONAL DIA 6</t>
  </si>
  <si>
    <t>OCEAN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</si>
</sst>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/>
    <xf numFmtId="0" fontId="1" fillId="0" borderId="0" xfId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71BB-0FF2-8A4B-AEC2-A066CA4912DE}">
  <dimension ref="B6:M31"/>
  <sheetViews>
    <sheetView tabSelected="1" topLeftCell="F6" zoomScale="160" zoomScaleNormal="160" workbookViewId="0">
      <selection activeCell="J14" sqref="J14"/>
    </sheetView>
  </sheetViews>
  <sheetFormatPr baseColWidth="10" defaultRowHeight="16" x14ac:dyDescent="0.2"/>
  <cols>
    <col min="2" max="2" width="14" bestFit="1" customWidth="1"/>
    <col min="3" max="3" width="18.83203125" bestFit="1" customWidth="1"/>
    <col min="4" max="4" width="20" bestFit="1" customWidth="1"/>
    <col min="5" max="5" width="13" bestFit="1" customWidth="1"/>
    <col min="6" max="6" width="11.6640625" bestFit="1" customWidth="1"/>
    <col min="7" max="7" width="18.83203125" bestFit="1" customWidth="1"/>
    <col min="9" max="9" width="14.6640625" bestFit="1" customWidth="1"/>
    <col min="10" max="10" width="41.6640625" bestFit="1" customWidth="1"/>
    <col min="11" max="11" width="20" customWidth="1"/>
    <col min="12" max="12" width="12.33203125" bestFit="1" customWidth="1"/>
  </cols>
  <sheetData>
    <row r="6" spans="2:12" x14ac:dyDescent="0.2">
      <c r="B6" s="14" t="s">
        <v>7</v>
      </c>
      <c r="C6" s="15"/>
      <c r="D6" s="16"/>
    </row>
    <row r="7" spans="2:12" x14ac:dyDescent="0.2">
      <c r="B7" s="2" t="s">
        <v>13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I7" s="4" t="s">
        <v>16</v>
      </c>
      <c r="J7" s="4" t="s">
        <v>19</v>
      </c>
      <c r="K7" s="4" t="s">
        <v>27</v>
      </c>
      <c r="L7" s="4" t="s">
        <v>28</v>
      </c>
    </row>
    <row r="8" spans="2:12" x14ac:dyDescent="0.2">
      <c r="B8" s="2" t="s">
        <v>14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I8" s="13" t="s">
        <v>21</v>
      </c>
      <c r="J8" s="4" t="s">
        <v>59</v>
      </c>
      <c r="K8" s="4" t="s">
        <v>20</v>
      </c>
      <c r="L8" s="4" t="s">
        <v>20</v>
      </c>
    </row>
    <row r="9" spans="2:12" x14ac:dyDescent="0.2">
      <c r="I9" s="13"/>
      <c r="J9" s="4" t="s">
        <v>17</v>
      </c>
      <c r="K9" s="4" t="s">
        <v>20</v>
      </c>
      <c r="L9" s="4" t="s">
        <v>20</v>
      </c>
    </row>
    <row r="10" spans="2:12" x14ac:dyDescent="0.2">
      <c r="B10" s="1" t="s">
        <v>5</v>
      </c>
      <c r="C10" s="1" t="s">
        <v>6</v>
      </c>
      <c r="I10" s="13"/>
      <c r="J10" s="4" t="s">
        <v>18</v>
      </c>
      <c r="K10" s="4" t="s">
        <v>20</v>
      </c>
      <c r="L10" s="4" t="s">
        <v>20</v>
      </c>
    </row>
    <row r="11" spans="2:12" x14ac:dyDescent="0.2">
      <c r="B11" s="3">
        <v>1305000</v>
      </c>
      <c r="C11" s="5">
        <f>B11*2</f>
        <v>2610000</v>
      </c>
      <c r="I11" s="13" t="s">
        <v>25</v>
      </c>
      <c r="J11" s="4" t="s">
        <v>22</v>
      </c>
      <c r="K11" s="7">
        <v>12</v>
      </c>
      <c r="L11" s="7">
        <f>K11*3</f>
        <v>36</v>
      </c>
    </row>
    <row r="12" spans="2:12" x14ac:dyDescent="0.2">
      <c r="I12" s="13"/>
      <c r="J12" s="4" t="s">
        <v>23</v>
      </c>
      <c r="K12" s="4" t="s">
        <v>20</v>
      </c>
      <c r="L12" s="4" t="s">
        <v>20</v>
      </c>
    </row>
    <row r="13" spans="2:12" x14ac:dyDescent="0.2">
      <c r="I13" s="13"/>
      <c r="J13" s="4" t="s">
        <v>24</v>
      </c>
      <c r="K13" s="4" t="s">
        <v>20</v>
      </c>
      <c r="L13" s="4" t="s">
        <v>20</v>
      </c>
    </row>
    <row r="14" spans="2:12" x14ac:dyDescent="0.2">
      <c r="B14" s="14" t="s">
        <v>15</v>
      </c>
      <c r="C14" s="15"/>
      <c r="D14" s="16"/>
      <c r="I14" s="4" t="s">
        <v>44</v>
      </c>
      <c r="J14" s="4" t="s">
        <v>45</v>
      </c>
      <c r="K14" s="7">
        <v>55</v>
      </c>
      <c r="L14" s="7">
        <f>K14*3</f>
        <v>165</v>
      </c>
    </row>
    <row r="15" spans="2:12" ht="34" x14ac:dyDescent="0.2">
      <c r="B15" s="2" t="s">
        <v>13</v>
      </c>
      <c r="C15" s="2" t="s">
        <v>3</v>
      </c>
      <c r="D15" s="2" t="s">
        <v>4</v>
      </c>
      <c r="F15" s="1" t="s">
        <v>5</v>
      </c>
      <c r="I15" s="13" t="s">
        <v>26</v>
      </c>
      <c r="J15" s="8" t="s">
        <v>39</v>
      </c>
      <c r="K15" s="7">
        <v>30</v>
      </c>
      <c r="L15" s="7">
        <f>K15*3</f>
        <v>90</v>
      </c>
    </row>
    <row r="16" spans="2:12" ht="34" x14ac:dyDescent="0.2">
      <c r="B16" s="2" t="s">
        <v>14</v>
      </c>
      <c r="C16" s="1" t="s">
        <v>8</v>
      </c>
      <c r="D16" s="1" t="s">
        <v>9</v>
      </c>
      <c r="F16" s="5">
        <v>1220000</v>
      </c>
      <c r="I16" s="13"/>
      <c r="J16" s="8" t="s">
        <v>40</v>
      </c>
      <c r="K16" s="7">
        <v>18</v>
      </c>
      <c r="L16" s="7">
        <f>K16*3</f>
        <v>54</v>
      </c>
    </row>
    <row r="17" spans="2:13" ht="51" x14ac:dyDescent="0.2">
      <c r="I17" s="13"/>
      <c r="J17" s="8" t="s">
        <v>41</v>
      </c>
      <c r="K17" s="7">
        <v>35</v>
      </c>
      <c r="L17" s="7">
        <f>K17*3</f>
        <v>105</v>
      </c>
    </row>
    <row r="18" spans="2:13" ht="34" x14ac:dyDescent="0.2">
      <c r="I18" s="4" t="s">
        <v>29</v>
      </c>
      <c r="J18" s="8" t="s">
        <v>42</v>
      </c>
      <c r="K18" s="9">
        <v>45.45</v>
      </c>
      <c r="L18" s="9">
        <f>K18*3</f>
        <v>136.35000000000002</v>
      </c>
    </row>
    <row r="19" spans="2:13" x14ac:dyDescent="0.2">
      <c r="I19" s="4" t="s">
        <v>30</v>
      </c>
      <c r="J19" s="4" t="s">
        <v>31</v>
      </c>
      <c r="K19" s="4" t="s">
        <v>32</v>
      </c>
      <c r="L19" s="4" t="s">
        <v>32</v>
      </c>
      <c r="M19" s="6"/>
    </row>
    <row r="20" spans="2:13" ht="34" x14ac:dyDescent="0.2">
      <c r="I20" s="2" t="s">
        <v>58</v>
      </c>
      <c r="J20" s="8" t="s">
        <v>43</v>
      </c>
      <c r="K20" s="7">
        <v>159</v>
      </c>
      <c r="L20" s="7">
        <f>K20*3</f>
        <v>477</v>
      </c>
    </row>
    <row r="21" spans="2:13" x14ac:dyDescent="0.2">
      <c r="B21" s="1" t="s">
        <v>48</v>
      </c>
      <c r="C21" s="1" t="s">
        <v>51</v>
      </c>
      <c r="D21" s="1" t="s">
        <v>52</v>
      </c>
      <c r="I21" s="10" t="s">
        <v>33</v>
      </c>
      <c r="J21" s="4" t="s">
        <v>34</v>
      </c>
      <c r="K21" s="4" t="s">
        <v>20</v>
      </c>
      <c r="L21" s="4" t="s">
        <v>20</v>
      </c>
    </row>
    <row r="22" spans="2:13" x14ac:dyDescent="0.2">
      <c r="B22" s="1" t="s">
        <v>49</v>
      </c>
      <c r="C22" s="1">
        <f>15*7</f>
        <v>105</v>
      </c>
      <c r="D22" s="1">
        <f>C22*3</f>
        <v>315</v>
      </c>
      <c r="I22" s="11"/>
      <c r="J22" s="4" t="s">
        <v>35</v>
      </c>
      <c r="K22" s="4" t="s">
        <v>20</v>
      </c>
      <c r="L22" s="4" t="s">
        <v>20</v>
      </c>
    </row>
    <row r="23" spans="2:13" x14ac:dyDescent="0.2">
      <c r="B23" s="1" t="s">
        <v>50</v>
      </c>
      <c r="C23" s="1">
        <f>15*7</f>
        <v>105</v>
      </c>
      <c r="D23" s="1">
        <f>C23*3</f>
        <v>315</v>
      </c>
      <c r="I23" s="12"/>
      <c r="J23" s="4" t="s">
        <v>36</v>
      </c>
      <c r="K23" s="4" t="s">
        <v>20</v>
      </c>
      <c r="L23" s="4" t="s">
        <v>20</v>
      </c>
    </row>
    <row r="24" spans="2:13" x14ac:dyDescent="0.2">
      <c r="D24" s="1">
        <f>SUM(D22:D23)</f>
        <v>630</v>
      </c>
      <c r="I24" s="4" t="s">
        <v>37</v>
      </c>
      <c r="J24" s="4" t="s">
        <v>38</v>
      </c>
      <c r="K24" s="7">
        <v>26</v>
      </c>
      <c r="L24" s="7">
        <f>K24*3</f>
        <v>78</v>
      </c>
    </row>
    <row r="25" spans="2:13" ht="34" x14ac:dyDescent="0.2">
      <c r="K25" s="8" t="s">
        <v>53</v>
      </c>
      <c r="L25" s="3">
        <f>SUM(L24,L20,L18,L17,L16,L15,L14,L11)</f>
        <v>1141.3499999999999</v>
      </c>
    </row>
    <row r="26" spans="2:13" ht="34" x14ac:dyDescent="0.2">
      <c r="K26" s="8" t="s">
        <v>54</v>
      </c>
      <c r="L26" s="3">
        <f>SUM(L11,L15,L16,L17,L18,L24)</f>
        <v>499.35</v>
      </c>
    </row>
    <row r="27" spans="2:13" x14ac:dyDescent="0.2">
      <c r="B27" s="1" t="s">
        <v>46</v>
      </c>
      <c r="C27" s="1" t="s">
        <v>47</v>
      </c>
      <c r="D27" s="1" t="s">
        <v>55</v>
      </c>
      <c r="E27" s="1" t="s">
        <v>48</v>
      </c>
      <c r="F27" s="1" t="s">
        <v>56</v>
      </c>
    </row>
    <row r="28" spans="2:13" x14ac:dyDescent="0.2">
      <c r="B28" s="3">
        <f>C11</f>
        <v>2610000</v>
      </c>
      <c r="C28" s="3">
        <f>F16</f>
        <v>1220000</v>
      </c>
      <c r="D28" s="3">
        <f>L25*3400</f>
        <v>3880589.9999999995</v>
      </c>
      <c r="E28" s="3">
        <f>D24*3400</f>
        <v>2142000</v>
      </c>
      <c r="F28" s="5">
        <f>SUM(B28:E28)</f>
        <v>9852590</v>
      </c>
    </row>
    <row r="30" spans="2:13" x14ac:dyDescent="0.2">
      <c r="B30" s="1" t="s">
        <v>46</v>
      </c>
      <c r="C30" s="1" t="s">
        <v>47</v>
      </c>
      <c r="D30" s="1" t="s">
        <v>57</v>
      </c>
      <c r="E30" s="1" t="s">
        <v>48</v>
      </c>
      <c r="F30" s="1" t="s">
        <v>56</v>
      </c>
    </row>
    <row r="31" spans="2:13" x14ac:dyDescent="0.2">
      <c r="B31" s="3">
        <f>B11*2</f>
        <v>2610000</v>
      </c>
      <c r="C31" s="3">
        <f>F16</f>
        <v>1220000</v>
      </c>
      <c r="D31" s="3">
        <f>L26*3400</f>
        <v>1697790</v>
      </c>
      <c r="E31" s="3">
        <f>D24*3400</f>
        <v>2142000</v>
      </c>
      <c r="F31" s="5">
        <f>SUM(B31:E31)</f>
        <v>7669790</v>
      </c>
    </row>
  </sheetData>
  <mergeCells count="6">
    <mergeCell ref="I21:I23"/>
    <mergeCell ref="I15:I17"/>
    <mergeCell ref="B6:D6"/>
    <mergeCell ref="B14:D14"/>
    <mergeCell ref="I8:I10"/>
    <mergeCell ref="I11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Ontiveros</dc:creator>
  <cp:lastModifiedBy>Jose Ontiveros</cp:lastModifiedBy>
  <dcterms:created xsi:type="dcterms:W3CDTF">2026-07-10T18:47:27Z</dcterms:created>
  <dcterms:modified xsi:type="dcterms:W3CDTF">2026-07-20T00:25:14Z</dcterms:modified>
</cp:coreProperties>
</file>